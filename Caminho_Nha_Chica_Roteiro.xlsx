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eiro" sheetId="1" r:id="rId4"/>
    <sheet state="visible" name="Informações Gerais" sheetId="2" r:id="rId5"/>
  </sheets>
  <definedNames/>
  <calcPr/>
  <extLst>
    <ext uri="GoogleSheetsCustomDataVersion2">
      <go:sheetsCustomData xmlns:go="http://customooxmlschemas.google.com/" r:id="rId6" roundtripDataChecksum="HXd/Te+3t2l3wq27IYtoLSDotIDEh6Ov/WHu2HBlZTU="/>
    </ext>
  </extLst>
</workbook>
</file>

<file path=xl/sharedStrings.xml><?xml version="1.0" encoding="utf-8"?>
<sst xmlns="http://schemas.openxmlformats.org/spreadsheetml/2006/main" count="139" uniqueCount="123">
  <si>
    <t>Caminho de Nhá Chica — Informações Gerais</t>
  </si>
  <si>
    <t>Caminho de Nhá Chica — Roteiro de Referência</t>
  </si>
  <si>
    <t>Ponto de partida</t>
  </si>
  <si>
    <t>Fonte: peregrinosemfronteiras.com.br/caminho-de-inha-chica  |  Total ~250 km  |  11 dias / 10 noites (incluindo dia de retorno)  |  Peregrinação prevista para nov/26</t>
  </si>
  <si>
    <t>Capela Nhá Chica, bairro Romas, Inconfidentes (MG)</t>
  </si>
  <si>
    <t>Ponto de chegada</t>
  </si>
  <si>
    <t>Santuário da Imaculada Conceição, Baependi (MG)</t>
  </si>
  <si>
    <t>Distância total</t>
  </si>
  <si>
    <t>~250 km</t>
  </si>
  <si>
    <t>Duração total</t>
  </si>
  <si>
    <t>Etapa</t>
  </si>
  <si>
    <t>11 dias / 10 noites (incluindo o dia de retorno)</t>
  </si>
  <si>
    <t>Melhor época</t>
  </si>
  <si>
    <t>Outono, inverno ou primavera (evitar o verão por causa das chuvas)</t>
  </si>
  <si>
    <t>Nível de dificuldade</t>
  </si>
  <si>
    <t>Médio — desafiador se feito em poucos dias; recomenda-se dividir em blocos de 20-25 km/dia</t>
  </si>
  <si>
    <t>Recomendado para</t>
  </si>
  <si>
    <t>Peregrinos iniciantes que estão se preparando para caminhos mais longos, como o Caminho de Santiago</t>
  </si>
  <si>
    <t>Custo médio estimado</t>
  </si>
  <si>
    <t>~R$60/dia por pessoa (hospedagem com café da manhã)</t>
  </si>
  <si>
    <t>Credencial de peregrino</t>
  </si>
  <si>
    <t>R$20 (necessária para o certificado de conclusão)</t>
  </si>
  <si>
    <t>O que levar</t>
  </si>
  <si>
    <t>Mochila leve (sem mala com rodinhas), calçado de caminhada, 3-4 camisetas, roupas íntimas extras, 2 calças/shorts, chinelo, corta-vento, jaqueta de frio, protetor solar, repelente, itens de higiene, medicamentos, capa de chuva</t>
  </si>
  <si>
    <t>Sinalização</t>
  </si>
  <si>
    <t>Caminho sinalizado ao longo de todo o trajeto; caminhar sozinho é possível mas não recomendado</t>
  </si>
  <si>
    <t>Dia</t>
  </si>
  <si>
    <t>Operadores de turismo mencionados</t>
  </si>
  <si>
    <t>ACACS-SP, Caminhos e Caminhadas, Ana Wanke</t>
  </si>
  <si>
    <t>Cidade Origem</t>
  </si>
  <si>
    <t>Sobre Nhá Chica</t>
  </si>
  <si>
    <t>Francisca de Paula de Jesus, nascida em 1810 em São João del Rei; viveu a vida adulta em Baependi; conhecida como "mãe dos pobres" pelas obras de caridade; beatificada em 4/5/2013; faleceu em 14/6/1895</t>
  </si>
  <si>
    <t>Fonte / referência</t>
  </si>
  <si>
    <t>Cidade Destino</t>
  </si>
  <si>
    <t>https://www.peregrinosemfronteiras.com.br/caminho-de-inha-chica</t>
  </si>
  <si>
    <t>Site oficial do projeto (contexto)</t>
  </si>
  <si>
    <t>https://caminhodenhachica.com/</t>
  </si>
  <si>
    <t>Distância (km)</t>
  </si>
  <si>
    <t>Terreno / Dificuldade</t>
  </si>
  <si>
    <t>Hospedagem alvo</t>
  </si>
  <si>
    <t>STATUS</t>
  </si>
  <si>
    <t>Hospedagem Sugerida</t>
  </si>
  <si>
    <t>Pontos de Interesse / Observações</t>
  </si>
  <si>
    <t>Chegada</t>
  </si>
  <si>
    <t>Dia 01</t>
  </si>
  <si>
    <t>—</t>
  </si>
  <si>
    <t>Inconfidentes (MG)</t>
  </si>
  <si>
    <t>Sem caminhada — chegada e preparação</t>
  </si>
  <si>
    <t>POUSADA SANTA VARANDA
(35) 99879-4580 (Selma)</t>
  </si>
  <si>
    <t>Confirmado
Adiantamento de R$ 65,00</t>
  </si>
  <si>
    <t>Pousada Águas Livres</t>
  </si>
  <si>
    <t>Chegada na cidade de origem da peregrinação e preparação para o início</t>
  </si>
  <si>
    <t>Dia 02</t>
  </si>
  <si>
    <t>Inconfidentes</t>
  </si>
  <si>
    <t>Borda da Mata</t>
  </si>
  <si>
    <t>Paisagens bonitas seguindo o "Caminho da Fé"</t>
  </si>
  <si>
    <t>Pousada no Caminho</t>
  </si>
  <si>
    <t>Confirmado
Adiantamento de R$ 75,00</t>
  </si>
  <si>
    <t>Pousada San Diego (a 150 m da praça/basílica)</t>
  </si>
  <si>
    <t>Dia 03</t>
  </si>
  <si>
    <t>Congonhal</t>
  </si>
  <si>
    <t>Início majoritariamente plano; subida forte por volta do km 9; desce em seguida; baixo tráfego de veículos</t>
  </si>
  <si>
    <t>HOTEL ESCALADA
(35) 99821-6239 (Silvana)</t>
  </si>
  <si>
    <t>Confirmado
pediu pra confirmar na véspera</t>
  </si>
  <si>
    <t>Hotel Escalada</t>
  </si>
  <si>
    <t>Dia 04</t>
  </si>
  <si>
    <t>Espírito Santo do Dourado</t>
  </si>
  <si>
    <t>Travessia da Serra de São Domingos; subida forte entre o km 2 e o km 8; considerada a 2ª etapa mais exigente do caminho</t>
  </si>
  <si>
    <t>POUSADA BELLA VISTA (JOÃO PERU)
(35) 99992-9470 João Peru
(35) 99717-5908 Rita</t>
  </si>
  <si>
    <t>Confirmado</t>
  </si>
  <si>
    <t>Pousada do Adão</t>
  </si>
  <si>
    <t>Passa pelo Santuário de Nossa Senhora da Obediência (vistas do alto da serra)</t>
  </si>
  <si>
    <t>Dia 05</t>
  </si>
  <si>
    <t>Silvianópolis</t>
  </si>
  <si>
    <t>Várias serras com descidas técnicas (exigem atenção); trecho intermediário plano entre fazendas com sombra; últimos 3 km em asfalto</t>
  </si>
  <si>
    <t>HOTEL LUCIANA
(35) 99717-9867 (Luciana)</t>
  </si>
  <si>
    <t>Hotel Luciana (café da manhã incluso)</t>
  </si>
  <si>
    <t>Dia 06</t>
  </si>
  <si>
    <t>Careaçu</t>
  </si>
  <si>
    <t>Pequena extensão, praticamente plano; estradas rurais</t>
  </si>
  <si>
    <t>Hotel e Pousada Arlen 03 (castelo)
(35) 3452-1112 (Silvia)</t>
  </si>
  <si>
    <t>Hotel Requinte ou Pousada Castelo (ambos com café da manhã)</t>
  </si>
  <si>
    <t>Região pastoril: fazendas de laticínios, cafezais e plantações de aveia</t>
  </si>
  <si>
    <t>Dia 07</t>
  </si>
  <si>
    <t>Heliodora</t>
  </si>
  <si>
    <t>Extensão média, praticamente plano</t>
  </si>
  <si>
    <t>HOTEL VILAREJO
(35) 99962-2630
(35) 3457-1156 (Sheila)</t>
  </si>
  <si>
    <t>Pousada Vilarejo</t>
  </si>
  <si>
    <t>Trecho inicial com sombra e silêncio; paisagens exuberantes até o km 16; final em estrada asfaltada — descrito como "caminho de luz e paz"</t>
  </si>
  <si>
    <t>Dia 08</t>
  </si>
  <si>
    <t>Conceição das Pedras (via Natércia)</t>
  </si>
  <si>
    <t>Vários desafios de altitude, incluindo o pico da Serra do Lobo no km 5; três descidas técnicas</t>
  </si>
  <si>
    <t>Pousada do Ginho
(35) 9857-1838</t>
  </si>
  <si>
    <t>Natércia: Pousada Chicuta ou Restaurante e Pousada Juliano | Conceição das Pedras: Pousada Por do Sol</t>
  </si>
  <si>
    <t>Cachoeira entre Natércia e Conceição das Pedras; recomenda-se incluir um dia extra para visitar as duas cidades</t>
  </si>
  <si>
    <t>Dia 09</t>
  </si>
  <si>
    <t>Conceição das Pedras</t>
  </si>
  <si>
    <t>Cristina</t>
  </si>
  <si>
    <t>Etapa longa e extremamente exigente em altimetria; altitudes de até 1.500 m; subida e descida do complexo da Pedra Branca + duas subidas adicionais na rodovia MG-347</t>
  </si>
  <si>
    <t>POUSADA CASARÃO DOS NORONHA KAUAGE
(35) 98763335</t>
  </si>
  <si>
    <t>Confirmado
Adiantamento de 127,50</t>
  </si>
  <si>
    <t>Hotel e Pousada do Giovani ou Pousada Casarão Dos Noronha Kauage</t>
  </si>
  <si>
    <t>Matas preservadas e córregos; paisagens descritas como "incríveis e inesquecíveis"</t>
  </si>
  <si>
    <t>Dia 10</t>
  </si>
  <si>
    <t>Soledade de Minas (via Carmo de Minas)</t>
  </si>
  <si>
    <t>Trajeto longo por fazendas históricas, rios, córregos e cachoeiras; longos trechos planos após as serras, que trazem alívio</t>
  </si>
  <si>
    <t>Hotel São Lucas
(35) 33341516</t>
  </si>
  <si>
    <t>Carmo de Minas: Hotel São Lucas | Soledade de Minas: Pousada Solar das Montanhas (piscina, apartamentos mobiliados)</t>
  </si>
  <si>
    <t>Construções coloniais de fazendas antigas ao longo do trajeto</t>
  </si>
  <si>
    <t>Dia 11</t>
  </si>
  <si>
    <t>Soledade de Minas</t>
  </si>
  <si>
    <t>Baependi (dorme em Caxambu)</t>
  </si>
  <si>
    <t>Grande extensão, mas praticamente plana, exceto breve subida inicial; piso de terra na maior parte do trajeto (bom para os pés); trechos urbanos finais em Caxambu e Baependi</t>
  </si>
  <si>
    <t>Pousada Golden Gardem</t>
  </si>
  <si>
    <t>Hotel Pousada São Miguel, Pousada Inhá Chica ou Hotel Cataguá (2 estrelas)</t>
  </si>
  <si>
    <t>Chegada ao Santuário da Imaculada Conceição (construído por Nhá Chica); retorno à cidade de origem no mesmo dia</t>
  </si>
  <si>
    <t>Volta</t>
  </si>
  <si>
    <t>Dia 12</t>
  </si>
  <si>
    <t>Caxambu</t>
  </si>
  <si>
    <t>São Paulo</t>
  </si>
  <si>
    <t xml:space="preserve">Volta 11h30 </t>
  </si>
  <si>
    <t>Total</t>
  </si>
  <si>
    <t>Observações: distâncias e descrições conforme publicado em peregrinosemfronteiras.com.br/caminho-de-inha-chica (acessado em set/2026). O total de referência do site é de ~250 km; a soma das etapas acima resulta em um valor muito próximo, com pequena diferença por arredondamento das distâncias publicadas por etapa. Custo médio informado: ~R$60/dia por pessoa (hospedagem com café da manhã) + credencial de peregrino R$20.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</si>
</sst>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0.0"/>
  </numFmts>
  <fonts count="8">
    <font>
      <sz val="11.0"/>
      <color theme="1"/>
      <name val="Calibri"/>
      <scheme val="minor"/>
    </font>
    <font>
      <b/>
      <sz val="14.0"/>
      <color rgb="FF4A6741"/>
      <name val="Arial"/>
    </font>
    <font>
      <b/>
      <sz val="10.0"/>
      <color theme="1"/>
      <name val="Arial"/>
    </font>
    <font>
      <i/>
      <sz val="9.0"/>
      <color rgb="FF666666"/>
      <name val="Arial"/>
    </font>
    <font>
      <sz val="10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6741"/>
        <bgColor rgb="FF4A6741"/>
      </patternFill>
    </fill>
    <fill>
      <patternFill patternType="solid">
        <fgColor rgb="FFD9EAD3"/>
        <bgColor rgb="FFD9EAD3"/>
      </patternFill>
    </fill>
    <fill>
      <patternFill patternType="solid">
        <fgColor rgb="FFD9E4D3"/>
        <bgColor rgb="FFD9E4D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1" fillId="0" fontId="4" numFmtId="0" xfId="0" applyAlignment="1" applyBorder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165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1" fillId="0" fontId="4" numFmtId="165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right" vertical="bottom"/>
    </xf>
    <xf borderId="1" fillId="4" fontId="2" numFmtId="165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9.0"/>
    <col customWidth="1" min="3" max="3" width="18.71"/>
    <col customWidth="1" min="4" max="4" width="9.0"/>
    <col customWidth="1" min="5" max="5" width="22.0"/>
    <col customWidth="1" min="6" max="6" width="30.0"/>
    <col customWidth="1" min="7" max="7" width="13.0"/>
    <col customWidth="1" min="8" max="9" width="42.0"/>
    <col customWidth="1" min="10" max="10" width="34.0"/>
    <col customWidth="1" hidden="1" min="11" max="11" width="34.0"/>
    <col customWidth="1" min="12" max="12" width="46.0"/>
    <col customWidth="1" min="13" max="29" width="8.71"/>
  </cols>
  <sheetData>
    <row r="1">
      <c r="A1" s="1" t="s">
        <v>1</v>
      </c>
    </row>
    <row r="2">
      <c r="A2" s="3" t="s">
        <v>3</v>
      </c>
    </row>
    <row r="4" ht="30.0" customHeight="1">
      <c r="A4" s="5" t="s">
        <v>10</v>
      </c>
      <c r="B4" s="5"/>
      <c r="C4" s="5"/>
      <c r="D4" s="5" t="s">
        <v>26</v>
      </c>
      <c r="E4" s="5" t="s">
        <v>29</v>
      </c>
      <c r="F4" s="5" t="s">
        <v>33</v>
      </c>
      <c r="G4" s="5" t="s">
        <v>37</v>
      </c>
      <c r="H4" s="5" t="s">
        <v>38</v>
      </c>
      <c r="I4" s="5" t="s">
        <v>39</v>
      </c>
      <c r="J4" s="6" t="s">
        <v>40</v>
      </c>
      <c r="K4" s="5" t="s">
        <v>41</v>
      </c>
      <c r="L4" s="5" t="s">
        <v>42</v>
      </c>
    </row>
    <row r="5" ht="45.0" customHeight="1">
      <c r="A5" s="7" t="s">
        <v>43</v>
      </c>
      <c r="B5" s="8">
        <v>46346.0</v>
      </c>
      <c r="C5" s="7" t="str">
        <f t="shared" ref="C5:C16" si="1">TEXT(B5,"dddd")</f>
        <v>sexta-feira</v>
      </c>
      <c r="D5" s="7" t="s">
        <v>44</v>
      </c>
      <c r="E5" s="7" t="s">
        <v>45</v>
      </c>
      <c r="F5" s="9" t="s">
        <v>46</v>
      </c>
      <c r="G5" s="10">
        <v>0.0</v>
      </c>
      <c r="H5" s="9" t="s">
        <v>47</v>
      </c>
      <c r="I5" s="9" t="s">
        <v>48</v>
      </c>
      <c r="J5" s="11" t="s">
        <v>49</v>
      </c>
      <c r="K5" s="9" t="s">
        <v>50</v>
      </c>
      <c r="L5" s="9" t="s">
        <v>51</v>
      </c>
    </row>
    <row r="6" ht="45.0" customHeight="1">
      <c r="A6" s="12">
        <v>1.0</v>
      </c>
      <c r="B6" s="13">
        <f t="shared" ref="B6:B15" si="2">B5+1</f>
        <v>46347</v>
      </c>
      <c r="C6" s="7" t="str">
        <f t="shared" si="1"/>
        <v>sábado</v>
      </c>
      <c r="D6" s="7" t="s">
        <v>52</v>
      </c>
      <c r="E6" s="7" t="s">
        <v>53</v>
      </c>
      <c r="F6" s="9" t="s">
        <v>54</v>
      </c>
      <c r="G6" s="10">
        <v>20.0</v>
      </c>
      <c r="H6" s="9" t="s">
        <v>55</v>
      </c>
      <c r="I6" s="14" t="s">
        <v>56</v>
      </c>
      <c r="J6" s="11" t="s">
        <v>57</v>
      </c>
      <c r="K6" s="9" t="s">
        <v>58</v>
      </c>
      <c r="L6" s="9" t="s">
        <v>45</v>
      </c>
    </row>
    <row r="7" ht="45.0" customHeight="1">
      <c r="A7" s="12">
        <v>2.0</v>
      </c>
      <c r="B7" s="13">
        <f t="shared" si="2"/>
        <v>46348</v>
      </c>
      <c r="C7" s="7" t="str">
        <f t="shared" si="1"/>
        <v>domingo</v>
      </c>
      <c r="D7" s="7" t="s">
        <v>59</v>
      </c>
      <c r="E7" s="7" t="s">
        <v>54</v>
      </c>
      <c r="F7" s="9" t="s">
        <v>60</v>
      </c>
      <c r="G7" s="10">
        <v>25.0</v>
      </c>
      <c r="H7" s="9" t="s">
        <v>61</v>
      </c>
      <c r="I7" s="9" t="s">
        <v>62</v>
      </c>
      <c r="J7" s="11" t="s">
        <v>63</v>
      </c>
      <c r="K7" s="9" t="s">
        <v>64</v>
      </c>
      <c r="L7" s="9" t="s">
        <v>45</v>
      </c>
    </row>
    <row r="8" ht="45.0" customHeight="1">
      <c r="A8" s="12">
        <v>3.0</v>
      </c>
      <c r="B8" s="13">
        <f t="shared" si="2"/>
        <v>46349</v>
      </c>
      <c r="C8" s="7" t="str">
        <f t="shared" si="1"/>
        <v>segunda-feira</v>
      </c>
      <c r="D8" s="7" t="s">
        <v>65</v>
      </c>
      <c r="E8" s="7" t="s">
        <v>60</v>
      </c>
      <c r="F8" s="9" t="s">
        <v>66</v>
      </c>
      <c r="G8" s="10">
        <v>21.0</v>
      </c>
      <c r="H8" s="9" t="s">
        <v>67</v>
      </c>
      <c r="I8" s="9" t="s">
        <v>68</v>
      </c>
      <c r="J8" s="11" t="s">
        <v>69</v>
      </c>
      <c r="K8" s="9" t="s">
        <v>70</v>
      </c>
      <c r="L8" s="9" t="s">
        <v>71</v>
      </c>
    </row>
    <row r="9" ht="45.0" customHeight="1">
      <c r="A9" s="12">
        <v>4.0</v>
      </c>
      <c r="B9" s="13">
        <f t="shared" si="2"/>
        <v>46350</v>
      </c>
      <c r="C9" s="7" t="str">
        <f t="shared" si="1"/>
        <v>terça-feira</v>
      </c>
      <c r="D9" s="7" t="s">
        <v>72</v>
      </c>
      <c r="E9" s="7" t="s">
        <v>66</v>
      </c>
      <c r="F9" s="9" t="s">
        <v>73</v>
      </c>
      <c r="G9" s="10">
        <v>25.5</v>
      </c>
      <c r="H9" s="9" t="s">
        <v>74</v>
      </c>
      <c r="I9" s="9" t="s">
        <v>75</v>
      </c>
      <c r="J9" s="11" t="s">
        <v>69</v>
      </c>
      <c r="K9" s="9" t="s">
        <v>76</v>
      </c>
      <c r="L9" s="9" t="s">
        <v>45</v>
      </c>
    </row>
    <row r="10" ht="45.0" customHeight="1">
      <c r="A10" s="12">
        <v>5.0</v>
      </c>
      <c r="B10" s="13">
        <f t="shared" si="2"/>
        <v>46351</v>
      </c>
      <c r="C10" s="7" t="str">
        <f t="shared" si="1"/>
        <v>quarta-feira</v>
      </c>
      <c r="D10" s="7" t="s">
        <v>77</v>
      </c>
      <c r="E10" s="7" t="s">
        <v>73</v>
      </c>
      <c r="F10" s="9" t="s">
        <v>78</v>
      </c>
      <c r="G10" s="10">
        <v>20.0</v>
      </c>
      <c r="H10" s="9" t="s">
        <v>79</v>
      </c>
      <c r="I10" s="9" t="s">
        <v>80</v>
      </c>
      <c r="J10" s="11" t="s">
        <v>69</v>
      </c>
      <c r="K10" s="9" t="s">
        <v>81</v>
      </c>
      <c r="L10" s="9" t="s">
        <v>82</v>
      </c>
    </row>
    <row r="11" ht="45.0" customHeight="1">
      <c r="A11" s="12">
        <v>6.0</v>
      </c>
      <c r="B11" s="13">
        <f t="shared" si="2"/>
        <v>46352</v>
      </c>
      <c r="C11" s="7" t="str">
        <f t="shared" si="1"/>
        <v>quinta-feira</v>
      </c>
      <c r="D11" s="7" t="s">
        <v>83</v>
      </c>
      <c r="E11" s="7" t="s">
        <v>78</v>
      </c>
      <c r="F11" s="9" t="s">
        <v>84</v>
      </c>
      <c r="G11" s="10">
        <v>24.0</v>
      </c>
      <c r="H11" s="9" t="s">
        <v>85</v>
      </c>
      <c r="I11" s="9" t="s">
        <v>86</v>
      </c>
      <c r="J11" s="11" t="s">
        <v>69</v>
      </c>
      <c r="K11" s="9" t="s">
        <v>87</v>
      </c>
      <c r="L11" s="9" t="s">
        <v>88</v>
      </c>
    </row>
    <row r="12" ht="45.0" customHeight="1">
      <c r="A12" s="12">
        <v>7.0</v>
      </c>
      <c r="B12" s="13">
        <f t="shared" si="2"/>
        <v>46353</v>
      </c>
      <c r="C12" s="7" t="str">
        <f t="shared" si="1"/>
        <v>sexta-feira</v>
      </c>
      <c r="D12" s="7" t="s">
        <v>89</v>
      </c>
      <c r="E12" s="7" t="s">
        <v>84</v>
      </c>
      <c r="F12" s="9" t="s">
        <v>90</v>
      </c>
      <c r="G12" s="10">
        <v>26.0</v>
      </c>
      <c r="H12" s="9" t="s">
        <v>91</v>
      </c>
      <c r="I12" s="15" t="s">
        <v>92</v>
      </c>
      <c r="J12" s="11" t="s">
        <v>69</v>
      </c>
      <c r="K12" s="9" t="s">
        <v>93</v>
      </c>
      <c r="L12" s="9" t="s">
        <v>94</v>
      </c>
    </row>
    <row r="13" ht="45.0" customHeight="1">
      <c r="A13" s="12">
        <v>8.0</v>
      </c>
      <c r="B13" s="13">
        <f t="shared" si="2"/>
        <v>46354</v>
      </c>
      <c r="C13" s="7" t="str">
        <f t="shared" si="1"/>
        <v>sábado</v>
      </c>
      <c r="D13" s="7" t="s">
        <v>95</v>
      </c>
      <c r="E13" s="7" t="s">
        <v>96</v>
      </c>
      <c r="F13" s="9" t="s">
        <v>97</v>
      </c>
      <c r="G13" s="10">
        <v>31.0</v>
      </c>
      <c r="H13" s="9" t="s">
        <v>98</v>
      </c>
      <c r="I13" s="14" t="s">
        <v>99</v>
      </c>
      <c r="J13" s="11" t="s">
        <v>100</v>
      </c>
      <c r="K13" s="9" t="s">
        <v>101</v>
      </c>
      <c r="L13" s="9" t="s">
        <v>102</v>
      </c>
    </row>
    <row r="14" ht="45.0" customHeight="1">
      <c r="A14" s="12">
        <v>9.0</v>
      </c>
      <c r="B14" s="13">
        <f t="shared" si="2"/>
        <v>46355</v>
      </c>
      <c r="C14" s="7" t="str">
        <f t="shared" si="1"/>
        <v>domingo</v>
      </c>
      <c r="D14" s="7" t="s">
        <v>103</v>
      </c>
      <c r="E14" s="7" t="s">
        <v>97</v>
      </c>
      <c r="F14" s="9" t="s">
        <v>104</v>
      </c>
      <c r="G14" s="10">
        <v>34.0</v>
      </c>
      <c r="H14" s="9" t="s">
        <v>105</v>
      </c>
      <c r="I14" s="14" t="s">
        <v>106</v>
      </c>
      <c r="J14" s="11" t="s">
        <v>69</v>
      </c>
      <c r="K14" s="9" t="s">
        <v>107</v>
      </c>
      <c r="L14" s="9" t="s">
        <v>108</v>
      </c>
    </row>
    <row r="15" ht="45.0" customHeight="1">
      <c r="A15" s="12">
        <v>10.0</v>
      </c>
      <c r="B15" s="13">
        <f t="shared" si="2"/>
        <v>46356</v>
      </c>
      <c r="C15" s="7" t="str">
        <f t="shared" si="1"/>
        <v>segunda-feira</v>
      </c>
      <c r="D15" s="7" t="s">
        <v>109</v>
      </c>
      <c r="E15" s="7" t="s">
        <v>110</v>
      </c>
      <c r="F15" s="14" t="s">
        <v>111</v>
      </c>
      <c r="G15" s="10">
        <v>27.0</v>
      </c>
      <c r="H15" s="9" t="s">
        <v>112</v>
      </c>
      <c r="I15" s="14" t="s">
        <v>113</v>
      </c>
      <c r="J15" s="11" t="s">
        <v>69</v>
      </c>
      <c r="K15" s="9" t="s">
        <v>114</v>
      </c>
      <c r="L15" s="9" t="s">
        <v>115</v>
      </c>
    </row>
    <row r="16" ht="45.0" customHeight="1">
      <c r="A16" s="12" t="s">
        <v>116</v>
      </c>
      <c r="B16" s="13">
        <f>B15+1</f>
        <v>46357</v>
      </c>
      <c r="C16" s="7" t="str">
        <f t="shared" si="1"/>
        <v>terça-feira</v>
      </c>
      <c r="D16" s="7" t="s">
        <v>117</v>
      </c>
      <c r="E16" s="12" t="s">
        <v>118</v>
      </c>
      <c r="F16" s="14" t="s">
        <v>119</v>
      </c>
      <c r="G16" s="16">
        <v>0.0</v>
      </c>
      <c r="H16" s="9"/>
      <c r="I16" s="7" t="s">
        <v>120</v>
      </c>
      <c r="J16" s="14"/>
      <c r="K16" s="9"/>
      <c r="L16" s="9"/>
    </row>
    <row r="17">
      <c r="A17" s="17"/>
      <c r="B17" s="18"/>
      <c r="C17" s="18"/>
      <c r="D17" s="17"/>
      <c r="E17" s="17"/>
      <c r="F17" s="19" t="s">
        <v>121</v>
      </c>
      <c r="G17" s="20">
        <f>SUM(G5:G16)</f>
        <v>253.5</v>
      </c>
      <c r="H17" s="18"/>
      <c r="I17" s="18"/>
      <c r="J17" s="18"/>
      <c r="K17" s="18"/>
      <c r="L17" s="18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9" ht="45.0" customHeight="1">
      <c r="A19" s="22" t="s">
        <v>122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L1"/>
    <mergeCell ref="A2:L2"/>
    <mergeCell ref="A19:L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70.0"/>
    <col customWidth="1" min="3" max="26" width="8.71"/>
  </cols>
  <sheetData>
    <row r="1">
      <c r="A1" s="1" t="s">
        <v>0</v>
      </c>
    </row>
    <row r="3" ht="30.0" customHeight="1">
      <c r="A3" s="2" t="s">
        <v>2</v>
      </c>
      <c r="B3" s="4" t="s">
        <v>4</v>
      </c>
    </row>
    <row r="4" ht="30.0" customHeight="1">
      <c r="A4" s="2" t="s">
        <v>5</v>
      </c>
      <c r="B4" s="4" t="s">
        <v>6</v>
      </c>
    </row>
    <row r="5" ht="30.0" customHeight="1">
      <c r="A5" s="2" t="s">
        <v>7</v>
      </c>
      <c r="B5" s="4" t="s">
        <v>8</v>
      </c>
    </row>
    <row r="6" ht="30.0" customHeight="1">
      <c r="A6" s="2" t="s">
        <v>9</v>
      </c>
      <c r="B6" s="4" t="s">
        <v>11</v>
      </c>
    </row>
    <row r="7" ht="30.0" customHeight="1">
      <c r="A7" s="2" t="s">
        <v>12</v>
      </c>
      <c r="B7" s="4" t="s">
        <v>13</v>
      </c>
    </row>
    <row r="8" ht="60.0" customHeight="1">
      <c r="A8" s="2" t="s">
        <v>14</v>
      </c>
      <c r="B8" s="4" t="s">
        <v>15</v>
      </c>
    </row>
    <row r="9" ht="60.0" customHeight="1">
      <c r="A9" s="2" t="s">
        <v>16</v>
      </c>
      <c r="B9" s="4" t="s">
        <v>17</v>
      </c>
    </row>
    <row r="10" ht="30.0" customHeight="1">
      <c r="A10" s="2" t="s">
        <v>18</v>
      </c>
      <c r="B10" s="4" t="s">
        <v>19</v>
      </c>
    </row>
    <row r="11" ht="30.0" customHeight="1">
      <c r="A11" s="2" t="s">
        <v>20</v>
      </c>
      <c r="B11" s="4" t="s">
        <v>21</v>
      </c>
    </row>
    <row r="12" ht="60.0" customHeight="1">
      <c r="A12" s="2" t="s">
        <v>22</v>
      </c>
      <c r="B12" s="4" t="s">
        <v>23</v>
      </c>
    </row>
    <row r="13" ht="60.0" customHeight="1">
      <c r="A13" s="2" t="s">
        <v>24</v>
      </c>
      <c r="B13" s="4" t="s">
        <v>25</v>
      </c>
    </row>
    <row r="14" ht="30.0" customHeight="1">
      <c r="A14" s="2" t="s">
        <v>27</v>
      </c>
      <c r="B14" s="4" t="s">
        <v>28</v>
      </c>
    </row>
    <row r="15" ht="60.0" customHeight="1">
      <c r="A15" s="2" t="s">
        <v>30</v>
      </c>
      <c r="B15" s="4" t="s">
        <v>31</v>
      </c>
    </row>
    <row r="16" ht="30.0" customHeight="1">
      <c r="A16" s="2" t="s">
        <v>32</v>
      </c>
      <c r="B16" s="4" t="s">
        <v>34</v>
      </c>
    </row>
    <row r="17" ht="30.0" customHeight="1">
      <c r="A17" s="2" t="s">
        <v>35</v>
      </c>
      <c r="B17" s="4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2026-09-07T23:35:34Z</dcterms:created>
  <dc:creator>openpyxl</dc:creator>
</cp:coreProperties>
</file>